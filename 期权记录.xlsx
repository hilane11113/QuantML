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definedNames>
    <definedName name="_xlnm._FilterDatabase" localSheetId="0" hidden="1">Sheet1!$A$1:$Y$46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<sst xmlns="http://schemas.openxmlformats.org/spreadsheetml/2006/main" count="153" uniqueCount="72">
  <si>
    <t>Date</t>
  </si>
  <si>
    <t>Asset</t>
  </si>
  <si>
    <t>Specific Operation</t>
  </si>
  <si>
    <t xml:space="preserve">Strategy Margin </t>
  </si>
  <si>
    <t>Profit</t>
  </si>
  <si>
    <t>Margin Return Rate</t>
  </si>
  <si>
    <t>Holding Period (Days)</t>
  </si>
  <si>
    <t>Annualized Margin Return</t>
  </si>
  <si>
    <t>Number of Contracts</t>
  </si>
  <si>
    <t>Purchase Cost</t>
  </si>
  <si>
    <t>Option Profit Percentage</t>
  </si>
  <si>
    <t>Status</t>
  </si>
  <si>
    <t>备注</t>
  </si>
  <si>
    <t>总体胜率</t>
  </si>
  <si>
    <t>TSLA</t>
  </si>
  <si>
    <t>Sell 1010 400 PUT
Buy 1010 375 PUT</t>
  </si>
  <si>
    <t>close</t>
  </si>
  <si>
    <t>Sell 1024 400 PUT
Buy 1024 375 PUT</t>
  </si>
  <si>
    <t>Sell 1107 405 PUT
Buy 1107 370 PUT</t>
  </si>
  <si>
    <t>Sell 1114 410 PUT
Buy 1114 375 PUT</t>
  </si>
  <si>
    <t>Sell 1121 410 PUT
Buy 1121 375 PUT</t>
  </si>
  <si>
    <t>薪资包不确定</t>
  </si>
  <si>
    <t>Sell 1125 400 PUT
Buy 1125 375 PUT</t>
  </si>
  <si>
    <t>Sell 1125 380 PUT
Buy 1125 355 PUT</t>
  </si>
  <si>
    <t>Sell 1212 390 PUT
Buy 1212 365 PUT</t>
  </si>
  <si>
    <t>QQQ</t>
  </si>
  <si>
    <t>Sell 1226 600 PUT
Buy 1226 570 PUT</t>
  </si>
  <si>
    <t>SPX</t>
  </si>
  <si>
    <t>Sell 1219 6825 CALL
Buy 1219 6835 CALL</t>
  </si>
  <si>
    <t>Sell 0102 440 PUT
Buy 0102 420 PUT</t>
  </si>
  <si>
    <t>Sell 0102 430 PUT
Buy 0102 410 PUT</t>
  </si>
  <si>
    <t>Sell 0102 400 PUT
Buy 0102 380 PUT</t>
  </si>
  <si>
    <t>Sell 0102 420 PUT
Buy 0102 400 PUT</t>
  </si>
  <si>
    <t>Sell 0123 420 PUT
Buy 0123 400 PUT</t>
  </si>
  <si>
    <t>Sell 0130 410 PUT
Buy 0130 390 PUT</t>
  </si>
  <si>
    <t>Sell 0206 400 PUT
Buy 0206 380 PUT</t>
  </si>
  <si>
    <t>Sell 0211 400 PUT
Buy 0211 380 PUT</t>
  </si>
  <si>
    <t>Buy 0227 445 CALL</t>
  </si>
  <si>
    <t>平均占用保证金</t>
  </si>
  <si>
    <t>平均绝对收益</t>
  </si>
  <si>
    <t>占用保证金回报率</t>
  </si>
  <si>
    <t>投资回报率</t>
  </si>
  <si>
    <t>持有天数</t>
  </si>
  <si>
    <t>年化回报</t>
  </si>
  <si>
    <t>合约份数</t>
  </si>
  <si>
    <t>成本价</t>
  </si>
  <si>
    <t>Sell 0213 390 PUT
Buy 0213 370 PUT</t>
  </si>
  <si>
    <t>平均</t>
  </si>
  <si>
    <t>Buy 0313 460 CALL</t>
  </si>
  <si>
    <t>Sell 0206 385 PUT
Buy 0206 365 PUT</t>
  </si>
  <si>
    <t>Buy 0320 464 CALL</t>
  </si>
  <si>
    <t>Sell 0306 385 PUT
Buy 0306 365 PUT</t>
  </si>
  <si>
    <t>2025Q1</t>
  </si>
  <si>
    <t>2026Q1</t>
  </si>
  <si>
    <t>Sell 0311 375 PUT
Buy 0311 355 PUT</t>
  </si>
  <si>
    <t>2025Q2</t>
  </si>
  <si>
    <t>2026Q2</t>
  </si>
  <si>
    <t>2025Q3</t>
  </si>
  <si>
    <t>2026Q3</t>
  </si>
  <si>
    <t>Sell 0313 380 PUT
Buy 0313 360 PUT</t>
  </si>
  <si>
    <t>2025Q4</t>
  </si>
  <si>
    <t>2026Q4</t>
  </si>
  <si>
    <t>Sell 0316 380 PUT
Buy 0316 360 PUT</t>
  </si>
  <si>
    <t>总计</t>
  </si>
  <si>
    <t>Sell 0318 375 PUT
Buy 0318 355 PUT</t>
  </si>
  <si>
    <t>2025胜率</t>
  </si>
  <si>
    <t>2026胜率</t>
  </si>
  <si>
    <t>Sell 0320 375 PUT
Buy 0320 355 PUT</t>
  </si>
  <si>
    <t>Sell 0323 377.5 PUT
Buy 0323 357.5 PUT</t>
  </si>
  <si>
    <t>Sell 0325 375 PUT
Buy 0325 355 PUT</t>
  </si>
  <si>
    <t>Sell 0401 355 PUT
Buy 0401 335 PUT</t>
  </si>
  <si>
    <t>Sell 0402 345 PUT
Buy 0402 325 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</si>
</sst>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8">
    <font>
      <sz val="11"/>
      <color theme="1"/>
      <name val="宋体"/>
      <charset val="134"/>
      <scheme val="minor"/>
    </font>
    <font>
      <b/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8"/>
      <color theme="1"/>
      <name val="Arial"/>
      <charset val="134"/>
    </font>
    <font>
      <b/>
      <sz val="11"/>
      <color rgb="FFFFFFFF"/>
      <name val="宋体"/>
      <charset val="134"/>
      <scheme val="minor"/>
    </font>
    <font>
      <b/>
      <sz val="11"/>
      <color theme="1"/>
      <name val="Microsoft YaHei"/>
      <charset val="134"/>
    </font>
    <font>
      <sz val="11"/>
      <color rgb="FF000000"/>
      <name val="宋体"/>
      <charset val="134"/>
      <scheme val="minor"/>
    </font>
    <font>
      <b/>
      <sz val="10"/>
      <color theme="1"/>
      <name val="Microsoft YaHei"/>
      <charset val="134"/>
    </font>
    <font>
      <b/>
      <sz val="10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gradientFill>
        <stop position="0">
          <color rgb="FF000000"/>
        </stop>
        <stop position="1">
          <color rgb="FFFF7F50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8" borderId="22" applyNumberFormat="0" applyAlignment="0" applyProtection="0">
      <alignment vertical="center"/>
    </xf>
    <xf numFmtId="0" fontId="19" fillId="8" borderId="21" applyNumberFormat="0" applyAlignment="0" applyProtection="0">
      <alignment vertical="center"/>
    </xf>
    <xf numFmtId="0" fontId="20" fillId="9" borderId="23" applyNumberFormat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6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 wrapText="1"/>
    </xf>
    <xf numFmtId="3" fontId="6" fillId="3" borderId="5" xfId="0" applyNumberFormat="1" applyFont="1" applyFill="1" applyBorder="1" applyAlignment="1">
      <alignment horizontal="center" vertical="center" wrapText="1"/>
    </xf>
    <xf numFmtId="9" fontId="6" fillId="3" borderId="5" xfId="0" applyNumberFormat="1" applyFont="1" applyFill="1" applyBorder="1" applyAlignment="1">
      <alignment horizontal="center" vertical="center" wrapText="1"/>
    </xf>
    <xf numFmtId="10" fontId="6" fillId="3" borderId="5" xfId="3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76" fontId="6" fillId="4" borderId="7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left" vertical="center" wrapText="1"/>
    </xf>
    <xf numFmtId="9" fontId="6" fillId="4" borderId="8" xfId="0" applyNumberFormat="1" applyFont="1" applyFill="1" applyBorder="1" applyAlignment="1">
      <alignment horizontal="center" vertical="center" wrapText="1"/>
    </xf>
    <xf numFmtId="10" fontId="6" fillId="4" borderId="8" xfId="3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176" fontId="6" fillId="3" borderId="7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 wrapText="1"/>
    </xf>
    <xf numFmtId="3" fontId="6" fillId="3" borderId="8" xfId="0" applyNumberFormat="1" applyFont="1" applyFill="1" applyBorder="1" applyAlignment="1">
      <alignment horizontal="center" vertical="center" wrapText="1"/>
    </xf>
    <xf numFmtId="9" fontId="6" fillId="3" borderId="8" xfId="0" applyNumberFormat="1" applyFont="1" applyFill="1" applyBorder="1" applyAlignment="1">
      <alignment horizontal="center" vertical="center" wrapText="1"/>
    </xf>
    <xf numFmtId="10" fontId="6" fillId="3" borderId="8" xfId="3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3" fontId="6" fillId="4" borderId="8" xfId="0" applyNumberFormat="1" applyFont="1" applyFill="1" applyBorder="1" applyAlignment="1">
      <alignment horizontal="center" vertical="center" wrapText="1"/>
    </xf>
    <xf numFmtId="0" fontId="8" fillId="5" borderId="0" xfId="0" applyFont="1" applyFill="1" applyBorder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9" fontId="7" fillId="0" borderId="0" xfId="3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10" fontId="7" fillId="0" borderId="16" xfId="3" applyNumberFormat="1" applyFont="1" applyBorder="1" applyAlignment="1">
      <alignment horizontal="center" vertical="center" wrapText="1"/>
    </xf>
    <xf numFmtId="10" fontId="7" fillId="0" borderId="17" xfId="3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theme="1" tint="0.9"/>
          </stop>
          <stop position="1">
            <color rgb="FFFFF1EB"/>
          </stop>
        </gradientFill>
      </fill>
    </dxf>
    <dxf>
      <fill>
        <gradientFill>
          <stop position="0">
            <color theme="1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theme="1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theme="1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theme="1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theme="1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 degree="90">
          <stop position="0">
            <color rgb="FF000000" tint="0.9"/>
          </stop>
          <stop position="1">
            <color rgb="FFFFF1EB"/>
          </stop>
        </gradientFill>
      </fill>
    </dxf>
    <dxf>
      <fill>
        <gradientFill>
          <stop position="0">
            <color rgb="FF000000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theme="1"/>
      </font>
      <fill>
        <gradientFill degree="90">
          <stop position="0">
            <color rgb="FF000000" tint="0.9"/>
          </stop>
          <stop position="1">
            <color rgb="FFFFF1EB"/>
          </stop>
        </gradientFill>
      </fill>
      <border>
        <left/>
        <right/>
        <top/>
        <bottom/>
        <vertical/>
        <horizontal/>
      </border>
    </dxf>
    <dxf>
      <font>
        <b val="0"/>
        <i val="0"/>
        <u val="none"/>
        <sz val="10"/>
        <color theme="1"/>
      </font>
      <fill>
        <gradientFill degree="90">
          <stop position="0">
            <color rgb="FF000000" tint="0.9"/>
          </stop>
          <stop position="1">
            <color rgb="FFFFF1EB"/>
          </stop>
        </gradientFill>
      </fill>
    </dxf>
    <dxf>
      <font>
        <b val="1"/>
        <i val="0"/>
        <u val="none"/>
        <sz val="10"/>
        <color rgb="FFFFFFFF"/>
      </font>
      <fill>
        <gradientFill>
          <stop position="0">
            <color rgb="FF000000"/>
          </stop>
          <stop position="1">
            <color rgb="FFFF7F50"/>
          </stop>
        </gradientFill>
      </fill>
      <border>
        <left/>
        <right/>
        <top/>
        <bottom/>
        <vertical/>
        <horizontal/>
      </border>
    </dxf>
    <dxf>
      <font>
        <b val="1"/>
        <i val="0"/>
        <u val="none"/>
        <sz val="10"/>
        <color rgb="FFFFFFFF"/>
      </font>
      <fill>
        <gradientFill>
          <stop position="0">
            <color rgb="FF000000"/>
          </stop>
          <stop position="1">
            <color rgb="FFFF7F50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</dxf>
    <dxf>
      <fill>
        <gradientFill degree="90">
          <stop position="0">
            <color rgb="FF000000" tint="0.899990844447157"/>
          </stop>
          <stop position="1">
            <color rgb="FFFFEBEF"/>
          </stop>
        </gradientFill>
      </fill>
    </dxf>
    <dxf>
      <fill>
        <gradientFill>
          <stop position="0">
            <color rgb="FF000000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000000" tint="0.9"/>
          </stop>
          <stop position="1">
            <color rgb="FFFFEBEF"/>
          </stop>
        </gradientFill>
      </fill>
      <border>
        <left style="thin">
          <color rgb="FFDDDDDD"/>
        </left>
        <right style="thin">
          <color rgb="FFFFC0CB"/>
        </right>
        <top style="thin">
          <color rgb="FF000000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theme="1"/>
      </font>
      <fill>
        <gradientFill degree="90">
          <stop position="0">
            <color rgb="FF000000" tint="0.899990844447157"/>
          </stop>
          <stop position="1">
            <color rgb="FFFFEBEF"/>
          </stop>
        </gradientFill>
      </fill>
      <border>
        <left style="thin">
          <color rgb="FF000000"/>
        </left>
        <right style="thin">
          <color rgb="FFDDDDDD"/>
        </right>
        <top style="thin">
          <color rgb="FF000000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rgb="FF000000"/>
          </stop>
          <stop position="1">
            <color rgb="FFFFC0CB"/>
          </stop>
        </gradientFill>
      </fill>
      <border>
        <left style="thin">
          <color rgb="FF000000"/>
        </left>
        <right style="thin">
          <color rgb="FFFFC0CB"/>
        </right>
        <top/>
        <bottom style="thin">
          <color rgb="FFFFC0CB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rgb="FF000000"/>
          </stop>
          <stop position="1">
            <color rgb="FFFFC0CB"/>
          </stop>
        </gradientFill>
      </fill>
      <border>
        <left style="thin">
          <color rgb="FF000000"/>
        </left>
        <right style="thin">
          <color rgb="FFFFC0CB"/>
        </right>
        <top style="thin">
          <color rgb="FF000000"/>
        </top>
        <bottom/>
        <vertical style="thin">
          <color rgb="FFFFFFFF"/>
        </vertical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FFC0CB"/>
        </right>
        <top style="thin">
          <color rgb="FF000000"/>
        </top>
        <bottom style="thin">
          <color rgb="FFFFC0CB"/>
        </bottom>
        <vertical style="thin">
          <color rgb="FFDDDDDD"/>
        </vertical>
        <horizontal style="thin">
          <color rgb="FFDDDDDD"/>
        </horizontal>
      </border>
    </dxf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  <border>
        <left/>
        <right style="thick">
          <color rgb="FFFFFFFF"/>
        </right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4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/>
        <bottom/>
        <vertical style="thick">
          <color theme="0"/>
        </vertical>
        <horizontal style="thick">
          <color theme="0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7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橙色系标题行首列镶边行表格样式_e47f1c" count="7" xr9:uid="{71AB13BB-213A-41C5-8A19-34C4AD80DA3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渐变蓝色橙色系标题行首列镶边行表格样式_053b7c" count="7" xr9:uid="{988AC89C-C615-495B-92FB-5C93B1E9BB94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secondRowStripe" dxfId="15"/>
      <tableStyleElement type="firstColumnStripe" dxfId="14"/>
    </tableStyle>
    <tableStyle name="渐变蓝色粉色系标题行镶边列表格样式_042c81" count="7" xr9:uid="{65DD3206-D558-45AF-9FCA-E44F3978DBBD}">
      <tableStyleElement type="wholeTable" dxfId="27"/>
      <tableStyleElement type="headerRow" dxfId="26"/>
      <tableStyleElement type="totalRow" dxfId="25"/>
      <tableStyleElement type="firstColumn" dxfId="24"/>
      <tableStyleElement type="lastColumn" dxfId="23"/>
      <tableStyleElement type="secondRowStripe" dxfId="22"/>
      <tableStyleElement type="firstColumnStripe" dxfId="21"/>
    </tableStyle>
    <tableStyle name="双色系标题行首列镶边行表格样式_766e57" count="9" xr9:uid="{AA368D1A-DCD4-45B6-9461-87E2D3CED6E4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secondRowStripe" dxfId="31"/>
      <tableStyleElement type="firstColumnStripe" dxfId="30"/>
      <tableStyleElement type="firstHeaderCell" dxfId="29"/>
      <tableStyleElement type="firstTotalCell" dxfId="28"/>
    </tableStyle>
    <tableStyle name="中色系标题行镶边行表格样式_676304" count="10" xr9:uid="{EFCE8BA5-E350-4A85-8C53-B5FD0277B2C7}">
      <tableStyleElement type="wholeTable" dxfId="46"/>
      <tableStyleElement type="headerRow" dxfId="45"/>
      <tableStyleElement type="totalRow" dxfId="44"/>
      <tableStyleElement type="firstColumn" dxfId="43"/>
      <tableStyleElement type="lastColumn" dxfId="42"/>
      <tableStyleElement type="secondRowStripe" dxfId="41"/>
      <tableStyleElement type="firstColumnStripe" dxfId="40"/>
      <tableStyleElement type="secondColumnStripe" dxfId="39"/>
      <tableStyleElement type="firstTotalCell" dxfId="38"/>
      <tableStyleElement type="lastTotalCell" dxfId="37"/>
    </tableStyle>
    <tableStyle name="PivotStylePreset2_Accent1" table="0" count="10" xr9:uid="{267968C8-6FFD-4C36-ACC1-9EA1FD1885CA}">
      <tableStyleElement type="headerRow" dxfId="56"/>
      <tableStyleElement type="totalRow" dxfId="55"/>
      <tableStyleElement type="firstRowStripe" dxfId="54"/>
      <tableStyleElement type="firstColumnStripe" dxfId="53"/>
      <tableStyleElement type="firstSubtotalRow" dxfId="52"/>
      <tableStyleElement type="secondSubtotalRow" dxfId="51"/>
      <tableStyleElement type="firstRowSubheading" dxfId="50"/>
      <tableStyleElement type="secondRowSubheading" dxfId="49"/>
      <tableStyleElement type="pageFieldLabels" dxfId="48"/>
      <tableStyleElement type="pageFieldValues" dxfId="4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4"/>
  <sheetViews>
    <sheetView tabSelected="1" workbookViewId="0">
      <pane ySplit="1" topLeftCell="A2" activePane="bottomLeft" state="frozen"/>
      <selection/>
      <selection pane="bottomLeft" activeCell="G45" sqref="G45"/>
    </sheetView>
  </sheetViews>
  <sheetFormatPr defaultColWidth="9" defaultRowHeight="13.8"/>
  <cols>
    <col min="1" max="1" width="13.3796296296296" style="2" customWidth="1"/>
    <col min="2" max="2" width="8.19444444444444" style="3" customWidth="1"/>
    <col min="3" max="3" width="22.3425925925926" style="3" customWidth="1"/>
    <col min="4" max="4" width="20.1203703703704" style="3" customWidth="1"/>
    <col min="5" max="5" width="8.93518518518519" style="3" customWidth="1"/>
    <col min="6" max="7" width="12.7777777777778" style="3" customWidth="1"/>
    <col min="8" max="8" width="14.7777777777778" style="3" customWidth="1"/>
    <col min="9" max="9" width="12.7777777777778" style="3" customWidth="1"/>
    <col min="10" max="10" width="16.712962962963" style="3" customWidth="1"/>
    <col min="11" max="11" width="13.7777777777778" style="3" customWidth="1"/>
    <col min="12" max="12" width="8.93518518518519" style="3" customWidth="1"/>
    <col min="13" max="13" width="14.1203703703704" style="4" customWidth="1"/>
    <col min="14" max="14" width="11.1574074074074" style="3" customWidth="1"/>
    <col min="15" max="15" width="6.71296296296296" style="3" customWidth="1"/>
    <col min="16" max="16" width="7.4537037037037" style="3" customWidth="1"/>
    <col min="17" max="17" width="15.9722222222222" style="3" customWidth="1"/>
    <col min="18" max="18" width="14.1203703703704" style="3" customWidth="1"/>
    <col min="19" max="19" width="18.8240740740741" style="3" customWidth="1"/>
    <col min="20" max="20" width="12.2685185185185" style="3" customWidth="1"/>
    <col min="21" max="21" width="11.1574074074074" style="3" customWidth="1"/>
    <col min="22" max="23" width="10.4166666666667" style="3" customWidth="1"/>
    <col min="24" max="24" width="9.49074074074074" style="3" customWidth="1"/>
    <col min="25" max="25" width="25" style="3" customWidth="1"/>
    <col min="26" max="16384" width="9" style="3"/>
  </cols>
  <sheetData>
    <row r="1" s="1" customFormat="1" ht="35" customHeight="1" spans="1:24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</row>
    <row r="2" ht="35" hidden="1" customHeight="1" spans="1:24">
      <c r="A2" s="9">
        <v>45926</v>
      </c>
      <c r="B2" s="10" t="s">
        <v>14</v>
      </c>
      <c r="C2" s="11" t="s">
        <v>15</v>
      </c>
      <c r="D2" s="10">
        <v>2500</v>
      </c>
      <c r="E2" s="12">
        <v>325</v>
      </c>
      <c r="F2" s="13">
        <f t="shared" ref="F2:F15" si="0">E2/D2</f>
        <v>0.13</v>
      </c>
      <c r="G2" s="10">
        <v>10</v>
      </c>
      <c r="H2" s="13">
        <f>F2/G2*365</f>
        <v>4.745</v>
      </c>
      <c r="I2" s="10">
        <v>1</v>
      </c>
      <c r="J2" s="10">
        <v>432</v>
      </c>
      <c r="K2" s="14">
        <f t="shared" ref="K2:K15" si="1">E2/J2</f>
        <v>0.752314814814815</v>
      </c>
      <c r="L2" s="10" t="s">
        <v>16</v>
      </c>
      <c r="M2" s="10"/>
      <c r="N2" s="15">
        <f t="shared" ref="N2:N15" si="2">IF(K2&gt;0,1,0)</f>
        <v>1</v>
      </c>
    </row>
    <row r="3" ht="35" hidden="1" customHeight="1" spans="1:24">
      <c r="A3" s="16">
        <v>45939</v>
      </c>
      <c r="B3" s="17" t="s">
        <v>14</v>
      </c>
      <c r="C3" s="18" t="s">
        <v>17</v>
      </c>
      <c r="D3" s="17">
        <v>3000</v>
      </c>
      <c r="E3" s="17">
        <v>420</v>
      </c>
      <c r="F3" s="19">
        <f t="shared" si="0"/>
        <v>0.14</v>
      </c>
      <c r="G3" s="17">
        <v>12</v>
      </c>
      <c r="H3" s="19">
        <f>F3/G3*365</f>
        <v>4.25833333333333</v>
      </c>
      <c r="I3" s="17">
        <v>1</v>
      </c>
      <c r="J3" s="17">
        <v>592</v>
      </c>
      <c r="K3" s="20">
        <f t="shared" si="1"/>
        <v>0.709459459459459</v>
      </c>
      <c r="L3" s="17" t="s">
        <v>16</v>
      </c>
      <c r="M3" s="17"/>
      <c r="N3" s="21">
        <f t="shared" si="2"/>
        <v>1</v>
      </c>
    </row>
    <row r="4" ht="35" hidden="1" customHeight="1" spans="1:24">
      <c r="A4" s="22">
        <v>45953</v>
      </c>
      <c r="B4" s="23" t="s">
        <v>14</v>
      </c>
      <c r="C4" s="24" t="s">
        <v>18</v>
      </c>
      <c r="D4" s="23">
        <v>3500</v>
      </c>
      <c r="E4" s="25">
        <v>628</v>
      </c>
      <c r="F4" s="26">
        <f t="shared" si="0"/>
        <v>0.179428571428571</v>
      </c>
      <c r="G4" s="23">
        <v>5</v>
      </c>
      <c r="H4" s="26">
        <f>F4/G4*365</f>
        <v>13.0982857142857</v>
      </c>
      <c r="I4" s="23">
        <v>1</v>
      </c>
      <c r="J4" s="23">
        <v>822</v>
      </c>
      <c r="K4" s="27">
        <f t="shared" si="1"/>
        <v>0.763990267639903</v>
      </c>
      <c r="L4" s="23" t="s">
        <v>16</v>
      </c>
      <c r="M4" s="23"/>
      <c r="N4" s="28">
        <f t="shared" si="2"/>
        <v>1</v>
      </c>
    </row>
    <row r="5" ht="35" hidden="1" customHeight="1" spans="1:24">
      <c r="A5" s="16">
        <v>45961</v>
      </c>
      <c r="B5" s="17" t="s">
        <v>14</v>
      </c>
      <c r="C5" s="18" t="s">
        <v>19</v>
      </c>
      <c r="D5" s="17">
        <v>3500</v>
      </c>
      <c r="E5" s="17">
        <v>279</v>
      </c>
      <c r="F5" s="19">
        <f t="shared" si="0"/>
        <v>0.0797142857142857</v>
      </c>
      <c r="G5" s="17">
        <v>6</v>
      </c>
      <c r="H5" s="19">
        <f>F5/G5*365</f>
        <v>4.84928571428571</v>
      </c>
      <c r="I5" s="17">
        <v>1</v>
      </c>
      <c r="J5" s="17">
        <v>495</v>
      </c>
      <c r="K5" s="20">
        <f t="shared" si="1"/>
        <v>0.563636363636364</v>
      </c>
      <c r="L5" s="17" t="s">
        <v>16</v>
      </c>
      <c r="M5" s="17"/>
      <c r="N5" s="21">
        <f t="shared" si="2"/>
        <v>1</v>
      </c>
    </row>
    <row r="6" ht="35" hidden="1" customHeight="1" spans="1:24">
      <c r="A6" s="22">
        <v>45966</v>
      </c>
      <c r="B6" s="23" t="s">
        <v>14</v>
      </c>
      <c r="C6" s="24" t="s">
        <v>20</v>
      </c>
      <c r="D6" s="23">
        <v>3500</v>
      </c>
      <c r="E6" s="25">
        <f>174</f>
        <v>174</v>
      </c>
      <c r="F6" s="26">
        <f t="shared" si="0"/>
        <v>0.0497142857142857</v>
      </c>
      <c r="G6" s="23">
        <v>1</v>
      </c>
      <c r="H6" s="26">
        <f>F6/G6*365</f>
        <v>18.1457142857143</v>
      </c>
      <c r="I6" s="23">
        <v>1</v>
      </c>
      <c r="J6" s="23">
        <v>540</v>
      </c>
      <c r="K6" s="27">
        <f t="shared" si="1"/>
        <v>0.322222222222222</v>
      </c>
      <c r="L6" s="23" t="s">
        <v>16</v>
      </c>
      <c r="M6" s="23" t="s">
        <v>21</v>
      </c>
      <c r="N6" s="28">
        <f t="shared" si="2"/>
        <v>1</v>
      </c>
    </row>
    <row r="7" ht="35" hidden="1" customHeight="1" spans="1:24">
      <c r="A7" s="16">
        <v>45968</v>
      </c>
      <c r="B7" s="17" t="s">
        <v>14</v>
      </c>
      <c r="C7" s="18" t="s">
        <v>20</v>
      </c>
      <c r="D7" s="17">
        <v>3500</v>
      </c>
      <c r="E7" s="17">
        <f>J7-M7</f>
        <v>-441</v>
      </c>
      <c r="F7" s="19">
        <f t="shared" si="0"/>
        <v>-0.126</v>
      </c>
      <c r="G7" s="17">
        <v>6</v>
      </c>
      <c r="H7" s="19">
        <f t="shared" ref="H7:H15" si="3">IFERROR(F7/G7*365,0)</f>
        <v>-7.665</v>
      </c>
      <c r="I7" s="17">
        <v>1</v>
      </c>
      <c r="J7" s="17">
        <v>749</v>
      </c>
      <c r="K7" s="20">
        <f t="shared" si="1"/>
        <v>-0.588785046728972</v>
      </c>
      <c r="L7" s="17" t="s">
        <v>16</v>
      </c>
      <c r="M7" s="17">
        <v>1190</v>
      </c>
      <c r="N7" s="21">
        <f t="shared" si="2"/>
        <v>0</v>
      </c>
    </row>
    <row r="8" ht="35" hidden="1" customHeight="1" spans="1:24">
      <c r="A8" s="22">
        <v>45974</v>
      </c>
      <c r="B8" s="23" t="s">
        <v>14</v>
      </c>
      <c r="C8" s="24" t="s">
        <v>22</v>
      </c>
      <c r="D8" s="23">
        <v>2500</v>
      </c>
      <c r="E8" s="25">
        <f>J8-M8</f>
        <v>-605</v>
      </c>
      <c r="F8" s="26">
        <f t="shared" si="0"/>
        <v>-0.242</v>
      </c>
      <c r="G8" s="23">
        <v>1</v>
      </c>
      <c r="H8" s="26">
        <f t="shared" si="3"/>
        <v>-88.33</v>
      </c>
      <c r="I8" s="23">
        <v>1</v>
      </c>
      <c r="J8" s="23">
        <v>395</v>
      </c>
      <c r="K8" s="27">
        <f t="shared" si="1"/>
        <v>-1.53164556962025</v>
      </c>
      <c r="L8" s="23" t="s">
        <v>16</v>
      </c>
      <c r="M8" s="23">
        <v>1000</v>
      </c>
      <c r="N8" s="28">
        <f t="shared" si="2"/>
        <v>0</v>
      </c>
    </row>
    <row r="9" ht="35" hidden="1" customHeight="1" spans="1:24">
      <c r="A9" s="16">
        <v>45975</v>
      </c>
      <c r="B9" s="17" t="s">
        <v>14</v>
      </c>
      <c r="C9" s="18" t="s">
        <v>23</v>
      </c>
      <c r="D9" s="17">
        <v>2500</v>
      </c>
      <c r="E9" s="17">
        <v>-55</v>
      </c>
      <c r="F9" s="19">
        <f t="shared" si="0"/>
        <v>-0.022</v>
      </c>
      <c r="G9" s="17">
        <v>7</v>
      </c>
      <c r="H9" s="19">
        <f t="shared" si="3"/>
        <v>-1.14714285714286</v>
      </c>
      <c r="I9" s="17">
        <v>1</v>
      </c>
      <c r="J9" s="17">
        <f>943-395</f>
        <v>548</v>
      </c>
      <c r="K9" s="20">
        <f t="shared" si="1"/>
        <v>-0.10036496350365</v>
      </c>
      <c r="L9" s="17" t="s">
        <v>16</v>
      </c>
      <c r="M9" s="17"/>
      <c r="N9" s="21">
        <f t="shared" si="2"/>
        <v>0</v>
      </c>
    </row>
    <row r="10" ht="35" hidden="1" customHeight="1" spans="1:24">
      <c r="A10" s="22">
        <v>45994</v>
      </c>
      <c r="B10" s="23" t="s">
        <v>14</v>
      </c>
      <c r="C10" s="24" t="s">
        <v>24</v>
      </c>
      <c r="D10" s="23">
        <v>2500</v>
      </c>
      <c r="E10" s="25">
        <v>151.34</v>
      </c>
      <c r="F10" s="26">
        <f t="shared" si="0"/>
        <v>0.060536</v>
      </c>
      <c r="G10" s="23">
        <v>3</v>
      </c>
      <c r="H10" s="26">
        <f t="shared" si="3"/>
        <v>7.36521333333333</v>
      </c>
      <c r="I10" s="23">
        <v>1</v>
      </c>
      <c r="J10" s="23">
        <v>174</v>
      </c>
      <c r="K10" s="27">
        <f t="shared" si="1"/>
        <v>0.869770114942529</v>
      </c>
      <c r="L10" s="23" t="s">
        <v>16</v>
      </c>
      <c r="M10" s="23"/>
      <c r="N10" s="28">
        <f t="shared" si="2"/>
        <v>1</v>
      </c>
    </row>
    <row r="11" ht="35" hidden="1" customHeight="1" spans="1:24">
      <c r="A11" s="16">
        <v>46003</v>
      </c>
      <c r="B11" s="17" t="s">
        <v>25</v>
      </c>
      <c r="C11" s="18" t="s">
        <v>26</v>
      </c>
      <c r="D11" s="17">
        <v>3000</v>
      </c>
      <c r="E11" s="17">
        <v>-26.37</v>
      </c>
      <c r="F11" s="19">
        <f t="shared" si="0"/>
        <v>-0.00879</v>
      </c>
      <c r="G11" s="17">
        <v>1</v>
      </c>
      <c r="H11" s="19">
        <f t="shared" si="3"/>
        <v>-3.20835</v>
      </c>
      <c r="I11" s="17">
        <v>1</v>
      </c>
      <c r="J11" s="17">
        <v>250</v>
      </c>
      <c r="K11" s="20">
        <f t="shared" si="1"/>
        <v>-0.10548</v>
      </c>
      <c r="L11" s="17" t="s">
        <v>16</v>
      </c>
      <c r="M11" s="17"/>
      <c r="N11" s="21">
        <f t="shared" si="2"/>
        <v>0</v>
      </c>
    </row>
    <row r="12" ht="35" hidden="1" customHeight="1" spans="1:24">
      <c r="A12" s="22">
        <v>46009</v>
      </c>
      <c r="B12" s="23" t="s">
        <v>27</v>
      </c>
      <c r="C12" s="24" t="s">
        <v>28</v>
      </c>
      <c r="D12" s="23">
        <v>1000</v>
      </c>
      <c r="E12" s="25">
        <v>-201</v>
      </c>
      <c r="F12" s="26">
        <f t="shared" si="0"/>
        <v>-0.201</v>
      </c>
      <c r="G12" s="23">
        <v>1</v>
      </c>
      <c r="H12" s="26">
        <f t="shared" si="3"/>
        <v>-73.365</v>
      </c>
      <c r="I12" s="23">
        <v>1</v>
      </c>
      <c r="J12" s="23">
        <v>320</v>
      </c>
      <c r="K12" s="27">
        <f t="shared" si="1"/>
        <v>-0.628125</v>
      </c>
      <c r="L12" s="23" t="s">
        <v>16</v>
      </c>
      <c r="M12" s="23"/>
      <c r="N12" s="28">
        <f t="shared" si="2"/>
        <v>0</v>
      </c>
    </row>
    <row r="13" ht="35" hidden="1" customHeight="1" spans="1:24">
      <c r="A13" s="16">
        <v>46015</v>
      </c>
      <c r="B13" s="17" t="s">
        <v>14</v>
      </c>
      <c r="C13" s="18" t="s">
        <v>29</v>
      </c>
      <c r="D13" s="17">
        <v>2000</v>
      </c>
      <c r="E13" s="17">
        <v>80</v>
      </c>
      <c r="F13" s="19">
        <f t="shared" si="0"/>
        <v>0.04</v>
      </c>
      <c r="G13" s="17">
        <v>9</v>
      </c>
      <c r="H13" s="19">
        <f t="shared" si="3"/>
        <v>1.62222222222222</v>
      </c>
      <c r="I13" s="17">
        <v>1</v>
      </c>
      <c r="J13" s="17">
        <v>93</v>
      </c>
      <c r="K13" s="20">
        <f t="shared" si="1"/>
        <v>0.860215053763441</v>
      </c>
      <c r="L13" s="17" t="s">
        <v>16</v>
      </c>
      <c r="M13" s="17"/>
      <c r="N13" s="21">
        <f t="shared" si="2"/>
        <v>1</v>
      </c>
    </row>
    <row r="14" ht="35" hidden="1" customHeight="1" spans="1:24">
      <c r="A14" s="22">
        <v>46020</v>
      </c>
      <c r="B14" s="23" t="s">
        <v>14</v>
      </c>
      <c r="C14" s="24" t="s">
        <v>29</v>
      </c>
      <c r="D14" s="23">
        <v>2000</v>
      </c>
      <c r="E14" s="25">
        <v>80</v>
      </c>
      <c r="F14" s="26">
        <f t="shared" si="0"/>
        <v>0.04</v>
      </c>
      <c r="G14" s="23">
        <v>4</v>
      </c>
      <c r="H14" s="26">
        <f t="shared" si="3"/>
        <v>3.65</v>
      </c>
      <c r="I14" s="23">
        <v>1</v>
      </c>
      <c r="J14" s="23">
        <v>115</v>
      </c>
      <c r="K14" s="27">
        <f t="shared" si="1"/>
        <v>0.695652173913043</v>
      </c>
      <c r="L14" s="23" t="s">
        <v>16</v>
      </c>
      <c r="M14" s="23"/>
      <c r="N14" s="28">
        <f t="shared" si="2"/>
        <v>1</v>
      </c>
      <c r="O14" s="29"/>
      <c r="P14" s="29"/>
      <c r="Q14" s="29"/>
      <c r="R14" s="30"/>
      <c r="S14" s="30"/>
      <c r="T14" s="30"/>
      <c r="U14" s="30"/>
      <c r="V14" s="30"/>
      <c r="W14" s="29"/>
      <c r="X14" s="29"/>
    </row>
    <row r="15" ht="35" hidden="1" customHeight="1" spans="1:24">
      <c r="A15" s="16">
        <v>46021</v>
      </c>
      <c r="B15" s="17" t="s">
        <v>14</v>
      </c>
      <c r="C15" s="18" t="s">
        <v>29</v>
      </c>
      <c r="D15" s="17">
        <v>2000</v>
      </c>
      <c r="E15" s="17">
        <v>80</v>
      </c>
      <c r="F15" s="19">
        <f t="shared" si="0"/>
        <v>0.04</v>
      </c>
      <c r="G15" s="17">
        <v>3</v>
      </c>
      <c r="H15" s="19">
        <f t="shared" si="3"/>
        <v>4.86666666666667</v>
      </c>
      <c r="I15" s="17">
        <v>1</v>
      </c>
      <c r="J15" s="17">
        <v>152</v>
      </c>
      <c r="K15" s="20">
        <f t="shared" si="1"/>
        <v>0.526315789473684</v>
      </c>
      <c r="L15" s="17" t="s">
        <v>16</v>
      </c>
      <c r="M15" s="17"/>
      <c r="N15" s="21">
        <f t="shared" si="2"/>
        <v>1</v>
      </c>
      <c r="O15" s="29"/>
      <c r="P15" s="29"/>
      <c r="Q15" s="29"/>
      <c r="R15" s="30"/>
      <c r="S15" s="30"/>
      <c r="T15" s="30"/>
      <c r="U15" s="30"/>
      <c r="V15" s="30"/>
      <c r="W15" s="29"/>
      <c r="X15" s="29"/>
    </row>
    <row r="16" ht="18.5" customHeight="1" spans="1:24">
      <c r="A16" s="22">
        <v>46023</v>
      </c>
      <c r="B16" s="23"/>
      <c r="C16" s="24"/>
      <c r="D16" s="23"/>
      <c r="E16" s="23"/>
      <c r="F16" s="26"/>
      <c r="G16" s="23"/>
      <c r="H16" s="26"/>
      <c r="I16" s="23"/>
      <c r="J16" s="23"/>
      <c r="K16" s="27"/>
      <c r="L16" s="23"/>
      <c r="M16" s="23"/>
      <c r="N16" s="28"/>
      <c r="O16" s="29"/>
      <c r="P16" s="29"/>
      <c r="Q16" s="29"/>
      <c r="R16" s="30"/>
      <c r="S16" s="30"/>
      <c r="T16" s="30"/>
      <c r="U16" s="30"/>
      <c r="V16" s="30"/>
      <c r="W16" s="29"/>
      <c r="X16" s="29"/>
    </row>
    <row r="17" ht="35" customHeight="1" spans="1:24">
      <c r="A17" s="16">
        <v>46024</v>
      </c>
      <c r="B17" s="17" t="s">
        <v>14</v>
      </c>
      <c r="C17" s="18" t="s">
        <v>30</v>
      </c>
      <c r="D17" s="17">
        <v>2000</v>
      </c>
      <c r="E17" s="31">
        <v>-300</v>
      </c>
      <c r="F17" s="19">
        <f t="shared" ref="F17:F33" si="4">E17/D17</f>
        <v>-0.15</v>
      </c>
      <c r="G17" s="17">
        <v>4</v>
      </c>
      <c r="H17" s="19">
        <f t="shared" ref="H17:H33" si="5">IFERROR(F17/G17*365,0)</f>
        <v>-13.6875</v>
      </c>
      <c r="I17" s="17">
        <v>1</v>
      </c>
      <c r="J17" s="17">
        <v>197</v>
      </c>
      <c r="K17" s="20">
        <f t="shared" ref="K17:K33" si="6">E17/J17</f>
        <v>-1.52284263959391</v>
      </c>
      <c r="L17" s="17" t="s">
        <v>16</v>
      </c>
      <c r="M17" s="17"/>
      <c r="N17" s="21">
        <f t="shared" ref="N17:N33" si="7">IF(K17&gt;0,1,0)</f>
        <v>0</v>
      </c>
      <c r="O17" s="29"/>
      <c r="P17" s="29"/>
      <c r="Q17" s="29"/>
      <c r="R17" s="30"/>
      <c r="S17" s="30"/>
      <c r="T17" s="30"/>
      <c r="U17" s="30"/>
      <c r="V17" s="30"/>
      <c r="W17" s="29"/>
      <c r="X17" s="29"/>
    </row>
    <row r="18" ht="35" customHeight="1" spans="1:24">
      <c r="A18" s="22">
        <v>46028</v>
      </c>
      <c r="B18" s="23" t="s">
        <v>14</v>
      </c>
      <c r="C18" s="24" t="s">
        <v>30</v>
      </c>
      <c r="D18" s="23">
        <v>2000</v>
      </c>
      <c r="E18" s="23">
        <v>-352</v>
      </c>
      <c r="F18" s="26">
        <f t="shared" si="4"/>
        <v>-0.176</v>
      </c>
      <c r="G18" s="23">
        <v>1</v>
      </c>
      <c r="H18" s="26">
        <f t="shared" si="5"/>
        <v>-64.24</v>
      </c>
      <c r="I18" s="23">
        <v>1</v>
      </c>
      <c r="J18" s="23">
        <v>300</v>
      </c>
      <c r="K18" s="27">
        <f t="shared" si="6"/>
        <v>-1.17333333333333</v>
      </c>
      <c r="L18" s="23" t="s">
        <v>16</v>
      </c>
      <c r="M18" s="23"/>
      <c r="N18" s="28">
        <f t="shared" si="7"/>
        <v>0</v>
      </c>
      <c r="O18" s="29"/>
      <c r="P18" s="29"/>
      <c r="Q18" s="29"/>
      <c r="R18" s="30"/>
      <c r="S18" s="30"/>
      <c r="T18" s="30"/>
      <c r="U18" s="30"/>
      <c r="V18" s="30"/>
      <c r="W18" s="29"/>
      <c r="X18" s="29"/>
    </row>
    <row r="19" ht="35" customHeight="1" spans="1:24">
      <c r="A19" s="16">
        <v>46031</v>
      </c>
      <c r="B19" s="17" t="s">
        <v>14</v>
      </c>
      <c r="C19" s="18" t="s">
        <v>31</v>
      </c>
      <c r="D19" s="17">
        <v>2000</v>
      </c>
      <c r="E19" s="31">
        <v>135</v>
      </c>
      <c r="F19" s="19">
        <f t="shared" si="4"/>
        <v>0.0675</v>
      </c>
      <c r="G19" s="17">
        <v>3</v>
      </c>
      <c r="H19" s="19">
        <f t="shared" si="5"/>
        <v>8.2125</v>
      </c>
      <c r="I19" s="17">
        <v>1</v>
      </c>
      <c r="J19" s="17">
        <v>178</v>
      </c>
      <c r="K19" s="20">
        <f t="shared" si="6"/>
        <v>0.758426966292135</v>
      </c>
      <c r="L19" s="17" t="s">
        <v>16</v>
      </c>
      <c r="M19" s="17"/>
      <c r="N19" s="21">
        <f t="shared" si="7"/>
        <v>1</v>
      </c>
      <c r="O19" s="29"/>
      <c r="P19" s="29"/>
      <c r="Q19" s="29"/>
      <c r="R19" s="30"/>
      <c r="S19" s="30"/>
      <c r="T19" s="30"/>
      <c r="U19" s="30"/>
      <c r="V19" s="30"/>
      <c r="W19" s="29"/>
      <c r="X19" s="29"/>
    </row>
    <row r="20" ht="35" customHeight="1" spans="1:24">
      <c r="A20" s="22">
        <v>46036</v>
      </c>
      <c r="B20" s="23" t="s">
        <v>14</v>
      </c>
      <c r="C20" s="24" t="s">
        <v>32</v>
      </c>
      <c r="D20" s="23">
        <v>2000</v>
      </c>
      <c r="E20" s="23">
        <v>13.4</v>
      </c>
      <c r="F20" s="26">
        <f t="shared" si="4"/>
        <v>0.0067</v>
      </c>
      <c r="G20" s="23">
        <v>1</v>
      </c>
      <c r="H20" s="26">
        <f t="shared" si="5"/>
        <v>2.4455</v>
      </c>
      <c r="I20" s="23">
        <v>1</v>
      </c>
      <c r="J20" s="23">
        <v>30</v>
      </c>
      <c r="K20" s="27">
        <f t="shared" si="6"/>
        <v>0.446666666666667</v>
      </c>
      <c r="L20" s="23" t="s">
        <v>16</v>
      </c>
      <c r="M20" s="23"/>
      <c r="N20" s="28">
        <f t="shared" si="7"/>
        <v>1</v>
      </c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ht="35" customHeight="1" spans="1:24">
      <c r="A21" s="16">
        <v>46036</v>
      </c>
      <c r="B21" s="17" t="s">
        <v>14</v>
      </c>
      <c r="C21" s="18" t="s">
        <v>33</v>
      </c>
      <c r="D21" s="17">
        <v>2000</v>
      </c>
      <c r="E21" s="31">
        <v>-121.8</v>
      </c>
      <c r="F21" s="19">
        <f t="shared" si="4"/>
        <v>-0.0609</v>
      </c>
      <c r="G21" s="17">
        <v>0</v>
      </c>
      <c r="H21" s="19">
        <f t="shared" si="5"/>
        <v>0</v>
      </c>
      <c r="I21" s="17">
        <v>1</v>
      </c>
      <c r="J21" s="17">
        <v>243</v>
      </c>
      <c r="K21" s="20">
        <f t="shared" si="6"/>
        <v>-0.501234567901235</v>
      </c>
      <c r="L21" s="17" t="s">
        <v>16</v>
      </c>
      <c r="M21" s="17"/>
      <c r="N21" s="21">
        <f t="shared" si="7"/>
        <v>0</v>
      </c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ht="35" customHeight="1" spans="1:24">
      <c r="A22" s="22">
        <v>46048</v>
      </c>
      <c r="B22" s="23" t="s">
        <v>14</v>
      </c>
      <c r="C22" s="24" t="s">
        <v>34</v>
      </c>
      <c r="D22" s="23">
        <v>2000</v>
      </c>
      <c r="E22" s="23">
        <v>-8.21</v>
      </c>
      <c r="F22" s="26">
        <f t="shared" si="4"/>
        <v>-0.004105</v>
      </c>
      <c r="G22" s="23">
        <v>2</v>
      </c>
      <c r="H22" s="26">
        <f t="shared" si="5"/>
        <v>-0.7491625</v>
      </c>
      <c r="I22" s="23">
        <v>1</v>
      </c>
      <c r="J22" s="23">
        <v>233</v>
      </c>
      <c r="K22" s="27">
        <f t="shared" si="6"/>
        <v>-0.0352360515021459</v>
      </c>
      <c r="L22" s="23" t="s">
        <v>16</v>
      </c>
      <c r="M22" s="23"/>
      <c r="N22" s="28">
        <f t="shared" si="7"/>
        <v>0</v>
      </c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ht="35" customHeight="1" spans="1:24">
      <c r="A23" s="16">
        <v>46055</v>
      </c>
      <c r="B23" s="17" t="s">
        <v>14</v>
      </c>
      <c r="C23" s="18" t="s">
        <v>35</v>
      </c>
      <c r="D23" s="17">
        <v>2000</v>
      </c>
      <c r="E23" s="17">
        <v>136.48</v>
      </c>
      <c r="F23" s="19">
        <f t="shared" si="4"/>
        <v>0.06824</v>
      </c>
      <c r="G23" s="17">
        <v>2</v>
      </c>
      <c r="H23" s="19">
        <f t="shared" si="5"/>
        <v>12.4538</v>
      </c>
      <c r="I23" s="17">
        <v>1</v>
      </c>
      <c r="J23" s="17">
        <v>233</v>
      </c>
      <c r="K23" s="20">
        <f t="shared" si="6"/>
        <v>0.585751072961373</v>
      </c>
      <c r="L23" s="17" t="s">
        <v>16</v>
      </c>
      <c r="M23" s="17"/>
      <c r="N23" s="21">
        <f t="shared" si="7"/>
        <v>1</v>
      </c>
      <c r="O23" s="29"/>
      <c r="P23" s="29"/>
      <c r="Q23" s="29"/>
      <c r="R23" s="30"/>
      <c r="S23" s="30"/>
      <c r="T23" s="30"/>
      <c r="U23" s="30"/>
      <c r="V23" s="30"/>
      <c r="W23" s="29"/>
      <c r="X23" s="29"/>
    </row>
    <row r="24" ht="35" customHeight="1" spans="1:24">
      <c r="A24" s="22">
        <v>46057</v>
      </c>
      <c r="B24" s="23" t="s">
        <v>14</v>
      </c>
      <c r="C24" s="24" t="s">
        <v>36</v>
      </c>
      <c r="D24" s="23">
        <v>2000</v>
      </c>
      <c r="E24" s="23">
        <v>-80</v>
      </c>
      <c r="F24" s="26">
        <f t="shared" si="4"/>
        <v>-0.04</v>
      </c>
      <c r="G24" s="23">
        <v>3</v>
      </c>
      <c r="H24" s="26">
        <f t="shared" si="5"/>
        <v>-4.86666666666667</v>
      </c>
      <c r="I24" s="23">
        <v>1</v>
      </c>
      <c r="J24" s="23">
        <v>212</v>
      </c>
      <c r="K24" s="27">
        <f t="shared" si="6"/>
        <v>-0.377358490566038</v>
      </c>
      <c r="L24" s="23" t="s">
        <v>16</v>
      </c>
      <c r="M24" s="23"/>
      <c r="N24" s="28">
        <f t="shared" si="7"/>
        <v>0</v>
      </c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ht="35" customHeight="1" spans="1:24">
      <c r="A25" s="16">
        <v>46058</v>
      </c>
      <c r="B25" s="17" t="s">
        <v>14</v>
      </c>
      <c r="C25" s="18" t="s">
        <v>37</v>
      </c>
      <c r="D25" s="17">
        <v>334</v>
      </c>
      <c r="E25" s="17">
        <v>215.9</v>
      </c>
      <c r="F25" s="19">
        <f t="shared" si="4"/>
        <v>0.646407185628743</v>
      </c>
      <c r="G25" s="17">
        <v>6</v>
      </c>
      <c r="H25" s="19">
        <f t="shared" si="5"/>
        <v>39.3231037924152</v>
      </c>
      <c r="I25" s="17">
        <v>1</v>
      </c>
      <c r="J25" s="17">
        <v>334</v>
      </c>
      <c r="K25" s="20">
        <f t="shared" si="6"/>
        <v>0.646407185628743</v>
      </c>
      <c r="L25" s="17" t="s">
        <v>16</v>
      </c>
      <c r="M25" s="17"/>
      <c r="N25" s="21">
        <f t="shared" si="7"/>
        <v>1</v>
      </c>
      <c r="O25" s="29"/>
      <c r="P25" s="29"/>
      <c r="Q25" s="32" t="s">
        <v>38</v>
      </c>
      <c r="R25" s="32" t="s">
        <v>39</v>
      </c>
      <c r="S25" s="32" t="s">
        <v>40</v>
      </c>
      <c r="T25" s="32" t="s">
        <v>41</v>
      </c>
      <c r="U25" s="32" t="s">
        <v>42</v>
      </c>
      <c r="V25" s="32" t="s">
        <v>43</v>
      </c>
      <c r="W25" s="32" t="s">
        <v>44</v>
      </c>
      <c r="X25" s="32" t="s">
        <v>45</v>
      </c>
    </row>
    <row r="26" ht="35" customHeight="1" spans="1:24">
      <c r="A26" s="22">
        <v>46063</v>
      </c>
      <c r="B26" s="23" t="s">
        <v>14</v>
      </c>
      <c r="C26" s="24" t="s">
        <v>46</v>
      </c>
      <c r="D26" s="23">
        <v>2000</v>
      </c>
      <c r="E26" s="23">
        <v>71</v>
      </c>
      <c r="F26" s="26">
        <f t="shared" si="4"/>
        <v>0.0355</v>
      </c>
      <c r="G26" s="23">
        <v>3</v>
      </c>
      <c r="H26" s="26">
        <f t="shared" si="5"/>
        <v>4.31916666666667</v>
      </c>
      <c r="I26" s="23">
        <v>1</v>
      </c>
      <c r="J26" s="23">
        <v>212</v>
      </c>
      <c r="K26" s="27">
        <f t="shared" si="6"/>
        <v>0.334905660377358</v>
      </c>
      <c r="L26" s="23" t="s">
        <v>16</v>
      </c>
      <c r="M26" s="23"/>
      <c r="N26" s="28">
        <f t="shared" si="7"/>
        <v>1</v>
      </c>
      <c r="O26" s="29" t="s">
        <v>47</v>
      </c>
      <c r="P26" s="29">
        <v>2025</v>
      </c>
      <c r="Q26" s="33">
        <f>AVERAGE(D$2:D$16)</f>
        <v>2642.85714285714</v>
      </c>
      <c r="R26" s="33">
        <f>AVERAGE(E$2:E$16)</f>
        <v>63.4978571428571</v>
      </c>
      <c r="S26" s="34">
        <f>AVERAGE(F$2:F$16)</f>
        <v>0.0114002244897959</v>
      </c>
      <c r="T26" s="34">
        <f>AVERAGE(K$2:K$16)</f>
        <v>0.222083977143756</v>
      </c>
      <c r="U26" s="33">
        <f>AVERAGE(G$2:G$16)</f>
        <v>4.92857142857143</v>
      </c>
      <c r="V26" s="34">
        <f>AVERAGE(H$2:H$16)</f>
        <v>-7.93676939909297</v>
      </c>
      <c r="W26" s="33">
        <f>AVERAGE(I$2:I$16)</f>
        <v>1</v>
      </c>
      <c r="X26" s="33">
        <f>AVERAGE(J$2:J$16)</f>
        <v>405.5</v>
      </c>
    </row>
    <row r="27" ht="35" customHeight="1" spans="1:24">
      <c r="A27" s="16">
        <v>46070</v>
      </c>
      <c r="B27" s="17" t="s">
        <v>14</v>
      </c>
      <c r="C27" s="18" t="s">
        <v>48</v>
      </c>
      <c r="D27" s="17">
        <v>310</v>
      </c>
      <c r="E27" s="17">
        <v>-76.68</v>
      </c>
      <c r="F27" s="19">
        <f t="shared" si="4"/>
        <v>-0.247354838709677</v>
      </c>
      <c r="G27" s="17">
        <v>8</v>
      </c>
      <c r="H27" s="19">
        <f t="shared" si="5"/>
        <v>-11.285564516129</v>
      </c>
      <c r="I27" s="17">
        <v>1</v>
      </c>
      <c r="J27" s="17">
        <v>310</v>
      </c>
      <c r="K27" s="27">
        <f t="shared" ref="K27:K41" si="8">E27/J27</f>
        <v>-0.247354838709677</v>
      </c>
      <c r="L27" s="17" t="s">
        <v>16</v>
      </c>
      <c r="M27" s="17"/>
      <c r="N27" s="21">
        <f t="shared" si="7"/>
        <v>0</v>
      </c>
      <c r="O27" s="29"/>
      <c r="P27" s="29">
        <v>2026</v>
      </c>
      <c r="Q27" s="33">
        <f>AVERAGE(D$17:D$1048576)</f>
        <v>1789.76</v>
      </c>
      <c r="R27" s="33">
        <f>AVERAGE(E$17:E$1048576)</f>
        <v>-43.6088</v>
      </c>
      <c r="S27" s="34">
        <f>AVERAGE(F$17:F$1048576)</f>
        <v>-0.00608450612323737</v>
      </c>
      <c r="T27" s="34">
        <f>AVERAGE(K$17:K$1048576)</f>
        <v>-0.196390423337542</v>
      </c>
      <c r="U27" s="33">
        <f>AVERAGE(G$17:G$1048576)</f>
        <v>3.92</v>
      </c>
      <c r="V27" s="34">
        <f>AVERAGE(H$17:H$1048576)</f>
        <v>-0.875693262281885</v>
      </c>
      <c r="W27" s="33">
        <f>AVERAGE(I$17:I$1048576)</f>
        <v>1.04</v>
      </c>
      <c r="X27" s="33">
        <f>AVERAGE(J$17:J$1048576)</f>
        <v>201.92</v>
      </c>
    </row>
    <row r="28" ht="35" customHeight="1" spans="1:24">
      <c r="A28" s="22">
        <v>46076</v>
      </c>
      <c r="B28" s="23" t="s">
        <v>14</v>
      </c>
      <c r="C28" s="24" t="s">
        <v>46</v>
      </c>
      <c r="D28" s="23">
        <v>2000</v>
      </c>
      <c r="E28" s="23">
        <v>260.5</v>
      </c>
      <c r="F28" s="19">
        <f t="shared" ref="F28:F41" si="9">E28/D28</f>
        <v>0.13025</v>
      </c>
      <c r="G28" s="23">
        <v>8</v>
      </c>
      <c r="H28" s="19">
        <f t="shared" ref="H28:H41" si="10">IFERROR(F28/G28*365,0)</f>
        <v>5.94265625</v>
      </c>
      <c r="I28" s="23">
        <v>1</v>
      </c>
      <c r="J28" s="23">
        <v>295</v>
      </c>
      <c r="K28" s="27">
        <f t="shared" si="8"/>
        <v>0.883050847457627</v>
      </c>
      <c r="L28" s="23" t="s">
        <v>16</v>
      </c>
      <c r="M28" s="23"/>
      <c r="N28" s="28">
        <f t="shared" si="7"/>
        <v>1</v>
      </c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ht="35" customHeight="1" spans="1:24">
      <c r="A29" s="16">
        <v>46079</v>
      </c>
      <c r="B29" s="17" t="s">
        <v>14</v>
      </c>
      <c r="C29" s="18" t="s">
        <v>49</v>
      </c>
      <c r="D29" s="17">
        <v>2000</v>
      </c>
      <c r="E29" s="17">
        <v>106</v>
      </c>
      <c r="F29" s="19">
        <f t="shared" si="9"/>
        <v>0.053</v>
      </c>
      <c r="G29" s="17">
        <v>6</v>
      </c>
      <c r="H29" s="19">
        <f t="shared" si="10"/>
        <v>3.22416666666667</v>
      </c>
      <c r="I29" s="17">
        <v>1</v>
      </c>
      <c r="J29" s="17">
        <v>197</v>
      </c>
      <c r="K29" s="27">
        <f t="shared" si="8"/>
        <v>0.538071065989848</v>
      </c>
      <c r="L29" s="17" t="s">
        <v>16</v>
      </c>
      <c r="M29" s="17"/>
      <c r="N29" s="21">
        <f t="shared" si="7"/>
        <v>1</v>
      </c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ht="35" customHeight="1" spans="1:24">
      <c r="A30" s="22">
        <v>46081</v>
      </c>
      <c r="B30" s="23" t="s">
        <v>14</v>
      </c>
      <c r="C30" s="24" t="s">
        <v>50</v>
      </c>
      <c r="D30" s="23">
        <v>100</v>
      </c>
      <c r="E30" s="23">
        <v>6.69</v>
      </c>
      <c r="F30" s="19">
        <f t="shared" si="9"/>
        <v>0.0669</v>
      </c>
      <c r="G30" s="23">
        <v>4</v>
      </c>
      <c r="H30" s="19">
        <f t="shared" si="10"/>
        <v>6.104625</v>
      </c>
      <c r="I30" s="23">
        <v>1</v>
      </c>
      <c r="J30" s="23">
        <v>100</v>
      </c>
      <c r="K30" s="27">
        <f t="shared" si="8"/>
        <v>0.0669</v>
      </c>
      <c r="L30" s="23" t="s">
        <v>16</v>
      </c>
      <c r="M30" s="23"/>
      <c r="N30" s="28">
        <f t="shared" si="7"/>
        <v>1</v>
      </c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ht="35" customHeight="1" spans="1:24">
      <c r="A31" s="16">
        <v>46083</v>
      </c>
      <c r="B31" s="17" t="s">
        <v>14</v>
      </c>
      <c r="C31" s="18" t="s">
        <v>51</v>
      </c>
      <c r="D31" s="17">
        <v>2000</v>
      </c>
      <c r="E31" s="17">
        <v>106</v>
      </c>
      <c r="F31" s="19">
        <f t="shared" si="9"/>
        <v>0.053</v>
      </c>
      <c r="G31" s="17">
        <v>2</v>
      </c>
      <c r="H31" s="19">
        <f t="shared" si="10"/>
        <v>9.6725</v>
      </c>
      <c r="I31" s="17">
        <v>1</v>
      </c>
      <c r="J31" s="17">
        <v>280</v>
      </c>
      <c r="K31" s="27">
        <f t="shared" si="8"/>
        <v>0.378571428571429</v>
      </c>
      <c r="L31" s="23" t="s">
        <v>16</v>
      </c>
      <c r="M31" s="17"/>
      <c r="N31" s="21">
        <v>1</v>
      </c>
      <c r="O31" s="29"/>
      <c r="P31" s="29"/>
      <c r="Q31" s="29"/>
      <c r="R31" s="35" t="s">
        <v>52</v>
      </c>
      <c r="S31" s="36">
        <v>8.62</v>
      </c>
      <c r="T31" s="37"/>
      <c r="U31" s="35" t="s">
        <v>53</v>
      </c>
      <c r="V31" s="36">
        <f>SUM(E13:E48)</f>
        <v>-850.22</v>
      </c>
      <c r="W31" s="29"/>
      <c r="X31" s="29"/>
    </row>
    <row r="32" ht="28.8" spans="1:24">
      <c r="A32" s="22">
        <v>46085</v>
      </c>
      <c r="B32" s="23" t="s">
        <v>14</v>
      </c>
      <c r="C32" s="24" t="s">
        <v>54</v>
      </c>
      <c r="D32" s="23">
        <v>2000</v>
      </c>
      <c r="E32" s="23">
        <v>114.85</v>
      </c>
      <c r="F32" s="19">
        <f t="shared" si="9"/>
        <v>0.057425</v>
      </c>
      <c r="G32" s="23">
        <v>6</v>
      </c>
      <c r="H32" s="19">
        <f t="shared" si="10"/>
        <v>3.49335416666667</v>
      </c>
      <c r="I32" s="23">
        <v>1</v>
      </c>
      <c r="J32" s="23">
        <v>104</v>
      </c>
      <c r="K32" s="27">
        <f t="shared" si="8"/>
        <v>1.10432692307692</v>
      </c>
      <c r="L32" s="23" t="s">
        <v>16</v>
      </c>
      <c r="M32" s="23"/>
      <c r="N32" s="28">
        <v>1</v>
      </c>
      <c r="O32" s="29"/>
      <c r="P32" s="29"/>
      <c r="Q32" s="29"/>
      <c r="R32" s="38" t="s">
        <v>55</v>
      </c>
      <c r="S32" s="39">
        <v>-117.82</v>
      </c>
      <c r="T32" s="30"/>
      <c r="U32" s="38" t="s">
        <v>56</v>
      </c>
      <c r="V32" s="39"/>
      <c r="W32" s="29"/>
      <c r="X32" s="29"/>
    </row>
    <row r="33" ht="28.8" spans="1:24">
      <c r="A33" s="16">
        <v>46087</v>
      </c>
      <c r="B33" s="17" t="s">
        <v>14</v>
      </c>
      <c r="C33" s="18" t="s">
        <v>54</v>
      </c>
      <c r="D33" s="17">
        <v>2000</v>
      </c>
      <c r="E33" s="17">
        <v>114.85</v>
      </c>
      <c r="F33" s="19">
        <f t="shared" si="9"/>
        <v>0.057425</v>
      </c>
      <c r="G33" s="17">
        <v>4</v>
      </c>
      <c r="H33" s="19">
        <f t="shared" si="10"/>
        <v>5.24003125</v>
      </c>
      <c r="I33" s="17">
        <v>1</v>
      </c>
      <c r="J33" s="17">
        <v>175</v>
      </c>
      <c r="K33" s="27">
        <f t="shared" si="8"/>
        <v>0.656285714285714</v>
      </c>
      <c r="L33" s="23" t="s">
        <v>16</v>
      </c>
      <c r="M33" s="17"/>
      <c r="N33" s="21">
        <v>1</v>
      </c>
      <c r="O33" s="29"/>
      <c r="P33" s="29"/>
      <c r="Q33" s="29"/>
      <c r="R33" s="38" t="s">
        <v>57</v>
      </c>
      <c r="S33" s="39">
        <v>271.44</v>
      </c>
      <c r="T33" s="30"/>
      <c r="U33" s="38" t="s">
        <v>58</v>
      </c>
      <c r="V33" s="39"/>
      <c r="W33" s="29"/>
      <c r="X33" s="29"/>
    </row>
    <row r="34" ht="28.8" spans="1:24">
      <c r="A34" s="22">
        <v>46091</v>
      </c>
      <c r="B34" s="23" t="s">
        <v>14</v>
      </c>
      <c r="C34" s="24" t="s">
        <v>59</v>
      </c>
      <c r="D34" s="23">
        <v>2000</v>
      </c>
      <c r="E34" s="23">
        <v>83</v>
      </c>
      <c r="F34" s="19">
        <f t="shared" si="9"/>
        <v>0.0415</v>
      </c>
      <c r="G34" s="23">
        <v>3</v>
      </c>
      <c r="H34" s="19">
        <f t="shared" si="10"/>
        <v>5.04916666666667</v>
      </c>
      <c r="I34" s="23">
        <v>1</v>
      </c>
      <c r="J34" s="23">
        <v>96</v>
      </c>
      <c r="K34" s="27">
        <f t="shared" si="8"/>
        <v>0.864583333333333</v>
      </c>
      <c r="L34" s="23" t="s">
        <v>16</v>
      </c>
      <c r="M34" s="23"/>
      <c r="N34" s="28">
        <v>1</v>
      </c>
      <c r="O34" s="29"/>
      <c r="P34" s="29"/>
      <c r="Q34" s="29"/>
      <c r="R34" s="38" t="s">
        <v>60</v>
      </c>
      <c r="S34" s="39">
        <v>648.82</v>
      </c>
      <c r="T34" s="30"/>
      <c r="U34" s="38" t="s">
        <v>61</v>
      </c>
      <c r="V34" s="39"/>
      <c r="W34" s="29"/>
      <c r="X34" s="29"/>
    </row>
    <row r="35" ht="28.8" spans="1:24">
      <c r="A35" s="22">
        <v>46092</v>
      </c>
      <c r="B35" s="17" t="s">
        <v>14</v>
      </c>
      <c r="C35" s="18" t="s">
        <v>62</v>
      </c>
      <c r="D35" s="17">
        <v>2000</v>
      </c>
      <c r="E35" s="17">
        <v>63</v>
      </c>
      <c r="F35" s="19">
        <f t="shared" si="9"/>
        <v>0.0315</v>
      </c>
      <c r="G35" s="17">
        <v>5</v>
      </c>
      <c r="H35" s="19">
        <f t="shared" si="10"/>
        <v>2.2995</v>
      </c>
      <c r="I35" s="17">
        <v>1</v>
      </c>
      <c r="J35" s="17">
        <v>80</v>
      </c>
      <c r="K35" s="27">
        <f t="shared" si="8"/>
        <v>0.7875</v>
      </c>
      <c r="L35" s="23" t="s">
        <v>16</v>
      </c>
      <c r="M35" s="17"/>
      <c r="N35" s="28">
        <v>1</v>
      </c>
      <c r="O35" s="29"/>
      <c r="P35" s="29"/>
      <c r="Q35" s="29"/>
      <c r="R35" s="38" t="s">
        <v>63</v>
      </c>
      <c r="S35" s="39">
        <f>SUM(S31:S34)</f>
        <v>811.06</v>
      </c>
      <c r="T35" s="30"/>
      <c r="U35" s="38" t="s">
        <v>63</v>
      </c>
      <c r="V35" s="39">
        <f>SUM(V31:V34)</f>
        <v>-850.22</v>
      </c>
      <c r="W35" s="29"/>
      <c r="X35" s="29"/>
    </row>
    <row r="36" ht="29.55" spans="1:24">
      <c r="A36" s="22">
        <v>46093</v>
      </c>
      <c r="B36" s="23" t="s">
        <v>14</v>
      </c>
      <c r="C36" s="24" t="s">
        <v>64</v>
      </c>
      <c r="D36" s="23">
        <v>2000</v>
      </c>
      <c r="E36" s="23">
        <v>135.8</v>
      </c>
      <c r="F36" s="19">
        <f t="shared" si="9"/>
        <v>0.0679</v>
      </c>
      <c r="G36" s="23">
        <v>5</v>
      </c>
      <c r="H36" s="19">
        <f t="shared" si="10"/>
        <v>4.9567</v>
      </c>
      <c r="I36" s="23">
        <v>1</v>
      </c>
      <c r="J36" s="23">
        <v>164</v>
      </c>
      <c r="K36" s="27">
        <f t="shared" si="8"/>
        <v>0.828048780487805</v>
      </c>
      <c r="L36" s="23" t="s">
        <v>16</v>
      </c>
      <c r="M36" s="23"/>
      <c r="N36" s="28">
        <v>1</v>
      </c>
      <c r="O36" s="29"/>
      <c r="P36" s="29"/>
      <c r="Q36" s="29"/>
      <c r="R36" s="40" t="s">
        <v>65</v>
      </c>
      <c r="S36" s="41">
        <f>SUM(N3:N15)/COUNTA(N3:N15)</f>
        <v>0.615384615384615</v>
      </c>
      <c r="T36" s="42"/>
      <c r="U36" s="40" t="s">
        <v>66</v>
      </c>
      <c r="V36" s="41">
        <f>SUM(N17:N80)/COUNTA(N17:N80)</f>
        <v>0.64</v>
      </c>
      <c r="W36" s="29"/>
      <c r="X36" s="29"/>
    </row>
    <row r="37" ht="28.8" spans="1:24">
      <c r="A37" s="22">
        <v>46094</v>
      </c>
      <c r="B37" s="17" t="s">
        <v>14</v>
      </c>
      <c r="C37" s="18" t="s">
        <v>67</v>
      </c>
      <c r="D37" s="17">
        <v>2000</v>
      </c>
      <c r="E37" s="17">
        <v>-1000</v>
      </c>
      <c r="F37" s="19">
        <f t="shared" si="9"/>
        <v>-0.5</v>
      </c>
      <c r="G37" s="17">
        <v>10</v>
      </c>
      <c r="H37" s="19">
        <f t="shared" si="10"/>
        <v>-18.25</v>
      </c>
      <c r="I37" s="17">
        <v>2</v>
      </c>
      <c r="J37" s="17">
        <f>210+188</f>
        <v>398</v>
      </c>
      <c r="K37" s="27">
        <f t="shared" si="8"/>
        <v>-2.51256281407035</v>
      </c>
      <c r="L37" s="23" t="s">
        <v>16</v>
      </c>
      <c r="M37" s="17"/>
      <c r="N37" s="21">
        <v>0</v>
      </c>
    </row>
    <row r="38" ht="28.8" spans="1:24">
      <c r="A38" s="22">
        <v>46100</v>
      </c>
      <c r="B38" s="23" t="s">
        <v>14</v>
      </c>
      <c r="C38" s="24" t="s">
        <v>68</v>
      </c>
      <c r="D38" s="23">
        <v>2000</v>
      </c>
      <c r="E38" s="23">
        <v>-800</v>
      </c>
      <c r="F38" s="19">
        <f t="shared" si="9"/>
        <v>-0.4</v>
      </c>
      <c r="G38" s="23">
        <v>4</v>
      </c>
      <c r="H38" s="19">
        <f t="shared" si="10"/>
        <v>-36.5</v>
      </c>
      <c r="I38" s="23">
        <v>1</v>
      </c>
      <c r="J38" s="23">
        <v>102</v>
      </c>
      <c r="K38" s="27">
        <f t="shared" si="8"/>
        <v>-7.84313725490196</v>
      </c>
      <c r="L38" s="23" t="s">
        <v>16</v>
      </c>
      <c r="M38" s="23"/>
      <c r="N38" s="28">
        <v>0</v>
      </c>
    </row>
    <row r="39" ht="28.8" spans="1:24">
      <c r="A39" s="22">
        <v>46100</v>
      </c>
      <c r="B39" s="17" t="s">
        <v>14</v>
      </c>
      <c r="C39" s="18" t="s">
        <v>69</v>
      </c>
      <c r="D39" s="17">
        <v>2000</v>
      </c>
      <c r="E39" s="17">
        <v>53</v>
      </c>
      <c r="F39" s="19">
        <f t="shared" si="9"/>
        <v>0.0265</v>
      </c>
      <c r="G39" s="17">
        <v>4</v>
      </c>
      <c r="H39" s="19">
        <f t="shared" si="10"/>
        <v>2.418125</v>
      </c>
      <c r="I39" s="17">
        <v>1</v>
      </c>
      <c r="J39" s="17">
        <v>237</v>
      </c>
      <c r="K39" s="27">
        <f t="shared" si="8"/>
        <v>0.223628691983122</v>
      </c>
      <c r="L39" s="23" t="s">
        <v>16</v>
      </c>
      <c r="M39" s="17"/>
      <c r="N39" s="21">
        <v>1</v>
      </c>
    </row>
    <row r="40" ht="28.8" spans="1:24">
      <c r="A40" s="22">
        <v>46108</v>
      </c>
      <c r="B40" s="23" t="s">
        <v>14</v>
      </c>
      <c r="C40" s="24" t="s">
        <v>70</v>
      </c>
      <c r="D40" s="23">
        <v>2000</v>
      </c>
      <c r="E40" s="23">
        <v>-53.5</v>
      </c>
      <c r="F40" s="19">
        <f t="shared" si="9"/>
        <v>-0.02675</v>
      </c>
      <c r="G40" s="23">
        <v>3</v>
      </c>
      <c r="H40" s="19">
        <f t="shared" si="10"/>
        <v>-3.25458333333333</v>
      </c>
      <c r="I40" s="23">
        <v>1</v>
      </c>
      <c r="J40" s="23">
        <v>170</v>
      </c>
      <c r="K40" s="27">
        <f t="shared" si="8"/>
        <v>-0.314705882352941</v>
      </c>
      <c r="L40" s="23" t="s">
        <v>16</v>
      </c>
      <c r="M40" s="23"/>
      <c r="N40" s="28">
        <v>0</v>
      </c>
      <c r="Q40" s="43">
        <f ca="1">TODAY()</f>
        <v>46113</v>
      </c>
    </row>
    <row r="41" ht="28.8" spans="1:24">
      <c r="A41" s="22">
        <v>46111</v>
      </c>
      <c r="B41" s="23" t="s">
        <v>14</v>
      </c>
      <c r="C41" s="24" t="s">
        <v>71</v>
      </c>
      <c r="D41" s="23">
        <v>2000</v>
      </c>
      <c r="E41" s="23">
        <v>86.5</v>
      </c>
      <c r="F41" s="19">
        <f t="shared" si="9"/>
        <v>0.04325</v>
      </c>
      <c r="G41" s="23">
        <v>1</v>
      </c>
      <c r="H41" s="19">
        <f t="shared" si="10"/>
        <v>15.78625</v>
      </c>
      <c r="I41" s="23">
        <v>1</v>
      </c>
      <c r="J41" s="23">
        <v>168</v>
      </c>
      <c r="K41" s="27">
        <f t="shared" si="8"/>
        <v>0.514880952380952</v>
      </c>
      <c r="L41" s="23" t="s">
        <v>16</v>
      </c>
      <c r="M41" s="23"/>
      <c r="N41" s="28">
        <v>1</v>
      </c>
      <c r="Q41" s="43">
        <f ca="1">TODAY()</f>
        <v>46113</v>
      </c>
    </row>
    <row r="42" spans="1:24">
      <c r="Q42" s="3">
        <f ca="1">$Q$40-A38</f>
        <v>13</v>
      </c>
    </row>
    <row r="43" spans="1:24">
      <c r="Q43" s="3">
        <f ca="1">$Q$40-A39</f>
        <v>13</v>
      </c>
    </row>
    <row r="44" spans="1:24">
      <c r="Q44" s="3">
        <f ca="1">$Q$40-A40</f>
        <v>5</v>
      </c>
    </row>
  </sheetData>
  <autoFilter xmlns:etc="http://www.wps.cn/officeDocument/2017/etCustomData" ref="A1:Y46" etc:filterBottomFollowUsedRange="0">
    <sortState ref="A1:Y46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KCcooo</cp:lastModifiedBy>
  <dcterms:created xsi:type="dcterms:W3CDTF">2025-10-31T14:38:00Z</dcterms:created>
  <dcterms:modified xsi:type="dcterms:W3CDTF">2026-04-01T03:27:48Z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76AF472376E94BB2837F41EC63EB5135_13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